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franr\OneDrive\Escritorio\informatica_us\asignaturas\DP2\ent\Workspace-26\Projects\Acme-Starters-C\"/>
    </mc:Choice>
  </mc:AlternateContent>
  <xr:revisionPtr revIDLastSave="0" documentId="13_ncr:1_{3E258BD7-A18C-4E3F-99CF-DB18BA672F37}" xr6:coauthVersionLast="47" xr6:coauthVersionMax="47" xr10:uidLastSave="{00000000-0000-0000-0000-000000000000}"/>
  <bookViews>
    <workbookView xWindow="-110" yWindow="-110" windowWidth="25820" windowHeight="16220"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E7" i="19" s="1"/>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6" i="20" l="1"/>
  <c r="E7" i="14"/>
  <c r="E6" i="14"/>
</calcChain>
</file>

<file path=xl/sharedStrings.xml><?xml version="1.0" encoding="utf-8"?>
<sst xmlns="http://schemas.openxmlformats.org/spreadsheetml/2006/main" count="163" uniqueCount="93">
  <si>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</si>
  <si>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</si>
  <si>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</si>
  <si>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</si>
  <si>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</si>
  <si>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</si>
  <si>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</si>
  <si>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</si>
  <si>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</si>
  <si>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</si>
  <si>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</si>
  <si>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</si>
  <si>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</si>
  <si>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</si>
  <si>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</si>
  <si>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</si>
  <si>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</si>
  <si>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</si>
  <si>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</si>
  <si>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</si>
  <si>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</si>
  <si>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</si>
  <si>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</si>
  <si>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</si>
  <si>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</si>
  <si>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</si>
  <si>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</si>
  <si>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</si>
  <si>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</si>
  <si>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</si>
  <si>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</si>
  <si>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</si>
  <si>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</si>
  <si>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</si>
  <si>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</si>
  <si>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</si>
  <si>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</si>
  <si>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</si>
  <si>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</si>
  <si>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</si>
  <si>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</si>
  <si>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</si>
  <si>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</si>
  <si>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</si>
  <si>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</si>
  <si>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</si>
  <si>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</si>
  <si>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</si>
  <si>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</si>
  <si>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</si>
  <si>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</si>
  <si>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</si>
  <si>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</si>
  <si>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</si>
  <si>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</si>
  <si>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</si>
  <si>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</si>
  <si>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</si>
  <si>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</si>
  <si>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</si>
  <si>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</si>
  <si>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</si>
  <si>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</si>
  <si>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</si>
  <si>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</si>
  <si>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</si>
  <si>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</si>
  <si>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</si>
  <si>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</si>
  <si>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</si>
  <si>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</si>
  <si>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</si>
  <si>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</si>
  <si>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</si>
  <si>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</si>
  <si>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</si>
  <si>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</si>
  <si>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</si>
  <si>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</si>
  <si>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</si>
  <si>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</si>
  <si>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</si>
  <si>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</si>
  <si>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</si>
  <si>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</si>
  <si>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</si>
  <si>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</si>
  <si>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</si>
  <si>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</si>
  <si>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</si>
  <si>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</si>
  <si>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T0001/M</t>
  </si>
  <si>
    <t>T0002/D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</si>
</sst>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xf numFmtId="22" fontId="0" fillId="3" borderId="6" xfId="0" applyNumberFormat="1" applyFill="1" applyBorder="1" applyAlignment="1">
      <alignment horizontal="right"/>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defaultColWidth="9.08984375" defaultRowHeight="14.5" x14ac:dyDescent="0.35"/>
  <cols>
    <col min="1" max="16384" width="9.08984375" style="1"/>
  </cols>
  <sheetData>
    <row r="2" spans="2:10" x14ac:dyDescent="0.35">
      <c r="B2" s="54" t="s">
        <v>77</v>
      </c>
      <c r="C2" s="54"/>
      <c r="D2" s="54"/>
      <c r="E2" s="54"/>
      <c r="F2" s="54"/>
      <c r="G2" s="54"/>
      <c r="H2" s="54"/>
      <c r="I2" s="54"/>
      <c r="J2" s="54"/>
    </row>
    <row r="4" spans="2:10" x14ac:dyDescent="0.35">
      <c r="B4" s="52" t="s">
        <v>2</v>
      </c>
      <c r="C4" s="53"/>
      <c r="D4" s="53"/>
      <c r="E4" s="53"/>
      <c r="F4" s="53"/>
      <c r="G4" s="53"/>
      <c r="H4" s="53"/>
      <c r="I4" s="53"/>
      <c r="J4" s="53"/>
    </row>
    <row r="5" spans="2:10" x14ac:dyDescent="0.35">
      <c r="B5" s="53"/>
      <c r="C5" s="53"/>
      <c r="D5" s="53"/>
      <c r="E5" s="53"/>
      <c r="F5" s="53"/>
      <c r="G5" s="53"/>
      <c r="H5" s="53"/>
      <c r="I5" s="53"/>
      <c r="J5" s="53"/>
    </row>
    <row r="6" spans="2:10" x14ac:dyDescent="0.35">
      <c r="B6" s="53"/>
      <c r="C6" s="53"/>
      <c r="D6" s="53"/>
      <c r="E6" s="53"/>
      <c r="F6" s="53"/>
      <c r="G6" s="53"/>
      <c r="H6" s="53"/>
      <c r="I6" s="53"/>
      <c r="J6" s="53"/>
    </row>
    <row r="7" spans="2:10" x14ac:dyDescent="0.35">
      <c r="B7" s="53"/>
      <c r="C7" s="53"/>
      <c r="D7" s="53"/>
      <c r="E7" s="53"/>
      <c r="F7" s="53"/>
      <c r="G7" s="53"/>
      <c r="H7" s="53"/>
      <c r="I7" s="53"/>
      <c r="J7" s="53"/>
    </row>
    <row r="8" spans="2:10" x14ac:dyDescent="0.35">
      <c r="B8" s="53"/>
      <c r="C8" s="53"/>
      <c r="D8" s="53"/>
      <c r="E8" s="53"/>
      <c r="F8" s="53"/>
      <c r="G8" s="53"/>
      <c r="H8" s="53"/>
      <c r="I8" s="53"/>
      <c r="J8" s="53"/>
    </row>
    <row r="9" spans="2:10" x14ac:dyDescent="0.35">
      <c r="B9" s="53"/>
      <c r="C9" s="53"/>
      <c r="D9" s="53"/>
      <c r="E9" s="53"/>
      <c r="F9" s="53"/>
      <c r="G9" s="53"/>
      <c r="H9" s="53"/>
      <c r="I9" s="53"/>
      <c r="J9" s="53"/>
    </row>
    <row r="10" spans="2:10" x14ac:dyDescent="0.35">
      <c r="B10" s="53"/>
      <c r="C10" s="53"/>
      <c r="D10" s="53"/>
      <c r="E10" s="53"/>
      <c r="F10" s="53"/>
      <c r="G10" s="53"/>
      <c r="H10" s="53"/>
      <c r="I10" s="53"/>
      <c r="J10" s="53"/>
    </row>
    <row r="11" spans="2:10" x14ac:dyDescent="0.35">
      <c r="B11" s="53"/>
      <c r="C11" s="53"/>
      <c r="D11" s="53"/>
      <c r="E11" s="53"/>
      <c r="F11" s="53"/>
      <c r="G11" s="53"/>
      <c r="H11" s="53"/>
      <c r="I11" s="53"/>
      <c r="J11" s="53"/>
    </row>
    <row r="12" spans="2:10" x14ac:dyDescent="0.35">
      <c r="B12" s="53"/>
      <c r="C12" s="53"/>
      <c r="D12" s="53"/>
      <c r="E12" s="53"/>
      <c r="F12" s="53"/>
      <c r="G12" s="53"/>
      <c r="H12" s="53"/>
      <c r="I12" s="53"/>
      <c r="J12" s="53"/>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RowHeight="14.5" x14ac:dyDescent="0.35"/>
  <sheetData>
    <row r="2" spans="2:10" x14ac:dyDescent="0.35">
      <c r="B2" s="54" t="s">
        <v>4</v>
      </c>
      <c r="C2" s="54"/>
      <c r="D2" s="54"/>
      <c r="E2" s="54"/>
      <c r="F2" s="54"/>
      <c r="G2" s="54"/>
      <c r="H2" s="54"/>
      <c r="I2" s="54"/>
      <c r="J2" s="54"/>
    </row>
    <row r="3" spans="2:10" x14ac:dyDescent="0.35">
      <c r="B3" s="2"/>
      <c r="C3" s="1"/>
      <c r="D3" s="1"/>
      <c r="E3" s="1"/>
      <c r="F3" s="1"/>
      <c r="G3" s="1"/>
      <c r="H3" s="1"/>
      <c r="I3" s="1"/>
      <c r="J3" s="1"/>
    </row>
    <row r="4" spans="2:10" ht="15" customHeight="1" x14ac:dyDescent="0.35">
      <c r="B4" s="52" t="s">
        <v>3</v>
      </c>
      <c r="C4" s="52"/>
      <c r="D4" s="52"/>
      <c r="E4" s="52"/>
      <c r="F4" s="52"/>
      <c r="G4" s="52"/>
      <c r="H4" s="52"/>
      <c r="I4" s="52"/>
      <c r="J4" s="52"/>
    </row>
    <row r="5" spans="2:10" x14ac:dyDescent="0.35">
      <c r="B5" s="52"/>
      <c r="C5" s="52"/>
      <c r="D5" s="52"/>
      <c r="E5" s="52"/>
      <c r="F5" s="52"/>
      <c r="G5" s="52"/>
      <c r="H5" s="52"/>
      <c r="I5" s="52"/>
      <c r="J5" s="52"/>
    </row>
    <row r="6" spans="2:10" x14ac:dyDescent="0.35">
      <c r="B6" s="52"/>
      <c r="C6" s="52"/>
      <c r="D6" s="52"/>
      <c r="E6" s="52"/>
      <c r="F6" s="52"/>
      <c r="G6" s="52"/>
      <c r="H6" s="52"/>
      <c r="I6" s="52"/>
      <c r="J6" s="52"/>
    </row>
    <row r="7" spans="2:10" x14ac:dyDescent="0.35">
      <c r="B7" s="1"/>
      <c r="C7" s="1"/>
      <c r="D7" s="1"/>
      <c r="E7" s="1"/>
      <c r="F7" s="1"/>
      <c r="G7" s="1"/>
      <c r="H7" s="1"/>
      <c r="I7" s="1"/>
      <c r="J7" s="1"/>
    </row>
    <row r="8" spans="2:10" x14ac:dyDescent="0.35">
      <c r="B8" s="38"/>
      <c r="C8" s="39" t="s">
        <v>78</v>
      </c>
      <c r="D8" s="1"/>
      <c r="E8" s="1"/>
      <c r="F8" s="1"/>
      <c r="G8" s="1"/>
      <c r="H8" s="1"/>
      <c r="I8" s="1"/>
      <c r="J8" s="1"/>
    </row>
    <row r="9" spans="2:10" x14ac:dyDescent="0.35">
      <c r="B9" s="4"/>
      <c r="C9" s="55" t="s">
        <v>0</v>
      </c>
      <c r="D9" s="55"/>
      <c r="E9" s="55"/>
      <c r="F9" s="55"/>
      <c r="G9" s="55"/>
      <c r="H9" s="55"/>
      <c r="I9" s="55"/>
      <c r="J9" s="55"/>
    </row>
    <row r="10" spans="2:10" x14ac:dyDescent="0.35">
      <c r="B10" s="48"/>
      <c r="C10" s="55" t="s">
        <v>89</v>
      </c>
      <c r="D10" s="55"/>
      <c r="E10" s="55"/>
      <c r="F10" s="55"/>
      <c r="G10" s="55"/>
      <c r="H10" s="55"/>
      <c r="I10" s="55"/>
      <c r="J10" s="55"/>
    </row>
    <row r="11" spans="2:10" x14ac:dyDescent="0.35">
      <c r="B11" s="49"/>
      <c r="C11" s="47" t="s">
        <v>90</v>
      </c>
      <c r="D11" s="47"/>
      <c r="E11" s="47"/>
      <c r="F11" s="47"/>
      <c r="G11" s="47"/>
      <c r="H11" s="47"/>
      <c r="I11" s="47"/>
      <c r="J11" s="47"/>
    </row>
    <row r="12" spans="2:10" x14ac:dyDescent="0.35">
      <c r="B12" s="3"/>
      <c r="C12" s="55" t="s">
        <v>1</v>
      </c>
      <c r="D12" s="55"/>
      <c r="E12" s="55"/>
      <c r="F12" s="55"/>
      <c r="G12" s="55"/>
      <c r="H12" s="55"/>
      <c r="I12" s="55"/>
      <c r="J12" s="55"/>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Normal="100" workbookViewId="0">
      <pane ySplit="10" topLeftCell="A11" activePane="bottomLeft" state="frozen"/>
      <selection pane="bottomLeft" activeCell="H30" sqref="H30"/>
    </sheetView>
  </sheetViews>
  <sheetFormatPr defaultRowHeight="14.5" x14ac:dyDescent="0.35"/>
  <cols>
    <col min="3" max="15" width="18.90625" customWidth="1"/>
    <col min="16" max="16" width="64.54296875" customWidth="1"/>
  </cols>
  <sheetData>
    <row r="2" spans="2:16" x14ac:dyDescent="0.35">
      <c r="C2" s="54" t="s">
        <v>5</v>
      </c>
      <c r="D2" s="54"/>
      <c r="E2" s="54"/>
      <c r="F2" s="54"/>
      <c r="G2" s="54"/>
      <c r="H2" s="54"/>
      <c r="I2" s="54"/>
      <c r="J2" s="54"/>
      <c r="K2" s="54"/>
      <c r="L2" s="54"/>
      <c r="M2" s="54"/>
      <c r="N2" s="54"/>
      <c r="O2" s="54"/>
      <c r="P2" s="54"/>
    </row>
    <row r="4" spans="2:16" ht="15" customHeight="1" x14ac:dyDescent="0.35">
      <c r="C4" s="52" t="s">
        <v>74</v>
      </c>
      <c r="D4" s="52"/>
      <c r="E4" s="52"/>
      <c r="F4" s="52"/>
      <c r="G4" s="52"/>
      <c r="H4" s="52"/>
      <c r="I4" s="52"/>
      <c r="J4" s="52"/>
      <c r="K4" s="52"/>
      <c r="L4" s="52"/>
      <c r="M4" s="52"/>
      <c r="N4" s="52"/>
      <c r="O4" s="52"/>
      <c r="P4" s="52"/>
    </row>
    <row r="5" spans="2:16" x14ac:dyDescent="0.35">
      <c r="C5" s="5"/>
      <c r="D5" s="5"/>
      <c r="E5" s="5"/>
      <c r="F5" s="5"/>
      <c r="G5" s="5"/>
      <c r="H5" s="5"/>
      <c r="I5" s="5"/>
      <c r="J5" s="5"/>
      <c r="K5" s="5"/>
      <c r="L5" s="5"/>
      <c r="M5" s="5"/>
      <c r="N5" s="5"/>
      <c r="O5" s="5"/>
      <c r="P5" s="5"/>
    </row>
    <row r="6" spans="2:16" x14ac:dyDescent="0.35">
      <c r="C6" s="56" t="s">
        <v>67</v>
      </c>
      <c r="D6" s="10" t="s">
        <v>68</v>
      </c>
      <c r="E6" s="34">
        <f>SUM(N11:N110)</f>
        <v>0</v>
      </c>
      <c r="F6" s="5"/>
      <c r="G6" s="5"/>
      <c r="H6" s="5"/>
      <c r="I6" s="5"/>
      <c r="J6" s="5"/>
      <c r="K6" s="5"/>
      <c r="L6" s="5"/>
      <c r="M6" s="5"/>
      <c r="N6" s="5"/>
      <c r="O6" s="5"/>
      <c r="P6" s="5"/>
    </row>
    <row r="7" spans="2:16" x14ac:dyDescent="0.35">
      <c r="C7" s="56"/>
      <c r="D7" s="11" t="s">
        <v>69</v>
      </c>
      <c r="E7" s="35">
        <f>SUM(O11:O110)</f>
        <v>0</v>
      </c>
      <c r="J7" s="36"/>
    </row>
    <row r="9" spans="2:16" x14ac:dyDescent="0.35">
      <c r="B9" s="6"/>
      <c r="C9" s="7"/>
      <c r="D9" s="7"/>
      <c r="E9" s="7"/>
      <c r="F9" s="7"/>
      <c r="G9" s="7"/>
      <c r="H9" s="7"/>
      <c r="I9" s="57" t="s">
        <v>51</v>
      </c>
      <c r="J9" s="57"/>
      <c r="K9" s="7"/>
      <c r="L9" s="57" t="s">
        <v>7</v>
      </c>
      <c r="M9" s="57"/>
      <c r="N9" s="57" t="s">
        <v>57</v>
      </c>
      <c r="O9" s="57"/>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T0001/M</v>
      </c>
      <c r="D11" s="43" t="s">
        <v>63</v>
      </c>
      <c r="E11" s="42" t="s">
        <v>80</v>
      </c>
      <c r="F11" s="42" t="s">
        <v>27</v>
      </c>
      <c r="G11" s="43" t="s">
        <v>34</v>
      </c>
      <c r="H11" s="42"/>
      <c r="I11" s="45">
        <v>46062.354166666664</v>
      </c>
      <c r="J11" s="45">
        <v>46062.4375</v>
      </c>
      <c r="K11" s="44" t="str">
        <f ca="1">IF(OR(I11="",J11=""),"",IF(AND(J11&lt;&gt;"",I11&gt;=NOW()),"Planned",IF(AND(J11&lt;&gt;"",J11&lt;NOW()),"Completed","Ongoing")))</f>
        <v>Completed</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T0002/D</v>
      </c>
      <c r="D12" s="43" t="s">
        <v>61</v>
      </c>
      <c r="E12" s="42" t="s">
        <v>82</v>
      </c>
      <c r="F12" s="42" t="s">
        <v>25</v>
      </c>
      <c r="G12" s="43" t="s">
        <v>40</v>
      </c>
      <c r="H12" s="42" t="s">
        <v>91</v>
      </c>
      <c r="I12" s="45">
        <v>46062.4375</v>
      </c>
      <c r="J12" s="45">
        <v>46062.479166666664</v>
      </c>
      <c r="K12" s="44" t="str">
        <f t="shared" ref="K12:K75" ca="1" si="0">IF(OR(I12="",J12=""),"",IF(AND(J12&lt;&gt;"",I12&gt;=NOW()),"Planned",IF(AND(J12&lt;&gt;"",J12&lt;NOW()),"Completed","Ongoing")))</f>
        <v>Completed</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T0003/D</v>
      </c>
      <c r="D13" s="43" t="s">
        <v>61</v>
      </c>
      <c r="E13" s="42" t="s">
        <v>80</v>
      </c>
      <c r="F13" s="42" t="s">
        <v>25</v>
      </c>
      <c r="G13" s="43" t="s">
        <v>40</v>
      </c>
      <c r="H13" s="42" t="s">
        <v>92</v>
      </c>
      <c r="I13" s="45">
        <v>46065.638888888891</v>
      </c>
      <c r="J13" s="45">
        <v>46065.729166666664</v>
      </c>
      <c r="K13" s="44" t="str">
        <f t="shared" ca="1" si="0"/>
        <v>Ongoing</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
      </c>
      <c r="D14" s="43"/>
      <c r="E14" s="42"/>
      <c r="F14" s="42"/>
      <c r="G14" s="43"/>
      <c r="H14" s="42"/>
      <c r="I14" s="45"/>
      <c r="J14" s="45"/>
      <c r="K14" s="44" t="str">
        <f t="shared" ca="1" si="0"/>
        <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
      </c>
      <c r="D15" s="43"/>
      <c r="E15" s="42"/>
      <c r="F15" s="42"/>
      <c r="G15" s="43"/>
      <c r="H15" s="42"/>
      <c r="I15" s="45"/>
      <c r="J15" s="45"/>
      <c r="K15" s="44" t="str">
        <f t="shared" ca="1" si="0"/>
        <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
      </c>
      <c r="D16" s="43"/>
      <c r="E16" s="42"/>
      <c r="F16" s="42"/>
      <c r="G16" s="43"/>
      <c r="H16" s="42"/>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K11:K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RowHeight="14.5" x14ac:dyDescent="0.35"/>
  <cols>
    <col min="3" max="15" width="18.90625" customWidth="1"/>
    <col min="16" max="16" width="64.54296875" customWidth="1"/>
  </cols>
  <sheetData>
    <row r="2" spans="2:16" x14ac:dyDescent="0.35">
      <c r="C2" s="54" t="s">
        <v>84</v>
      </c>
      <c r="D2" s="54"/>
      <c r="E2" s="54"/>
      <c r="F2" s="54"/>
      <c r="G2" s="54"/>
      <c r="H2" s="54"/>
      <c r="I2" s="54"/>
      <c r="J2" s="54"/>
      <c r="K2" s="54"/>
      <c r="L2" s="54"/>
      <c r="M2" s="54"/>
      <c r="N2" s="54"/>
      <c r="O2" s="54"/>
      <c r="P2" s="54"/>
    </row>
    <row r="4" spans="2:16" ht="15" customHeight="1" x14ac:dyDescent="0.35">
      <c r="C4" s="52" t="s">
        <v>74</v>
      </c>
      <c r="D4" s="52"/>
      <c r="E4" s="52"/>
      <c r="F4" s="52"/>
      <c r="G4" s="52"/>
      <c r="H4" s="52"/>
      <c r="I4" s="52"/>
      <c r="J4" s="52"/>
      <c r="K4" s="52"/>
      <c r="L4" s="52"/>
      <c r="M4" s="52"/>
      <c r="N4" s="52"/>
      <c r="O4" s="52"/>
      <c r="P4" s="52"/>
    </row>
    <row r="5" spans="2:16" x14ac:dyDescent="0.35">
      <c r="C5" s="5"/>
      <c r="D5" s="5"/>
      <c r="E5" s="5"/>
      <c r="F5" s="5"/>
      <c r="G5" s="5"/>
      <c r="H5" s="5"/>
      <c r="I5" s="5"/>
      <c r="J5" s="5"/>
      <c r="K5" s="5"/>
      <c r="L5" s="5"/>
      <c r="M5" s="5"/>
      <c r="N5" s="5"/>
      <c r="O5" s="5"/>
      <c r="P5" s="5"/>
    </row>
    <row r="6" spans="2:16" x14ac:dyDescent="0.35">
      <c r="C6" s="56" t="s">
        <v>67</v>
      </c>
      <c r="D6" s="10" t="s">
        <v>68</v>
      </c>
      <c r="E6" s="34">
        <f>SUM(N11:N110)</f>
        <v>0</v>
      </c>
      <c r="F6" s="5"/>
      <c r="G6" s="5"/>
      <c r="H6" s="5"/>
      <c r="I6" s="5"/>
      <c r="J6" s="5"/>
      <c r="K6" s="5"/>
      <c r="L6" s="5"/>
      <c r="M6" s="5"/>
      <c r="N6" s="5"/>
      <c r="O6" s="5"/>
      <c r="P6" s="5"/>
    </row>
    <row r="7" spans="2:16" x14ac:dyDescent="0.35">
      <c r="C7" s="56"/>
      <c r="D7" s="11" t="s">
        <v>69</v>
      </c>
      <c r="E7" s="35">
        <f>SUM(O11:O110)</f>
        <v>0</v>
      </c>
      <c r="J7" s="36"/>
    </row>
    <row r="9" spans="2:16" x14ac:dyDescent="0.35">
      <c r="B9" s="6"/>
      <c r="C9" s="7"/>
      <c r="D9" s="7"/>
      <c r="E9" s="7"/>
      <c r="F9" s="7"/>
      <c r="G9" s="7"/>
      <c r="H9" s="7"/>
      <c r="I9" s="57" t="s">
        <v>51</v>
      </c>
      <c r="J9" s="57"/>
      <c r="K9" s="7"/>
      <c r="L9" s="57" t="s">
        <v>7</v>
      </c>
      <c r="M9" s="57"/>
      <c r="N9" s="57" t="s">
        <v>57</v>
      </c>
      <c r="O9" s="57"/>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
      </c>
      <c r="D11" s="43"/>
      <c r="E11" s="42"/>
      <c r="F11" s="42"/>
      <c r="G11" s="43"/>
      <c r="H11" s="42"/>
      <c r="I11" s="45"/>
      <c r="J11" s="45"/>
      <c r="K11" s="44" t="str">
        <f ca="1">IF(OR(I11="",J11=""),"",IF(AND(J11&lt;&gt;"",I11&gt;=NOW()),"Planned",IF(AND(J11&lt;&gt;"",J11&lt;NOW()),"Completed","Ongoing")))</f>
        <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
      </c>
      <c r="D12" s="43"/>
      <c r="E12" s="42"/>
      <c r="F12" s="42"/>
      <c r="G12" s="43"/>
      <c r="H12" s="42"/>
      <c r="I12" s="45"/>
      <c r="J12" s="45"/>
      <c r="K12" s="44" t="str">
        <f t="shared" ref="K12:K75" ca="1" si="0">IF(OR(I12="",J12=""),"",IF(AND(J12&lt;&gt;"",I12&gt;=NOW()),"Planned",IF(AND(J12&lt;&gt;"",J12&lt;NOW()),"Completed","Ongoing")))</f>
        <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
      </c>
      <c r="D13" s="43"/>
      <c r="E13" s="42"/>
      <c r="F13" s="42"/>
      <c r="G13" s="43"/>
      <c r="H13" s="42"/>
      <c r="I13" s="45"/>
      <c r="J13" s="45"/>
      <c r="K13" s="44" t="str">
        <f t="shared" ca="1" si="0"/>
        <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
      </c>
      <c r="D14" s="43"/>
      <c r="E14" s="42"/>
      <c r="F14" s="42"/>
      <c r="G14" s="43"/>
      <c r="H14" s="42"/>
      <c r="I14" s="45"/>
      <c r="J14" s="45"/>
      <c r="K14" s="44" t="str">
        <f t="shared" ca="1" si="0"/>
        <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
      </c>
      <c r="D15" s="43"/>
      <c r="E15" s="42"/>
      <c r="F15" s="42"/>
      <c r="G15" s="43"/>
      <c r="H15" s="42"/>
      <c r="I15" s="45"/>
      <c r="J15" s="45"/>
      <c r="K15" s="44" t="str">
        <f t="shared" ca="1" si="0"/>
        <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
      </c>
      <c r="D16" s="43"/>
      <c r="E16" s="42"/>
      <c r="F16" s="42"/>
      <c r="G16" s="43"/>
      <c r="H16" s="42"/>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RowHeight="14.5" x14ac:dyDescent="0.35"/>
  <cols>
    <col min="3" max="15" width="18.90625" customWidth="1"/>
    <col min="16" max="16" width="64.54296875" customWidth="1"/>
  </cols>
  <sheetData>
    <row r="2" spans="2:16" x14ac:dyDescent="0.35">
      <c r="C2" s="54" t="s">
        <v>85</v>
      </c>
      <c r="D2" s="54"/>
      <c r="E2" s="54"/>
      <c r="F2" s="54"/>
      <c r="G2" s="54"/>
      <c r="H2" s="54"/>
      <c r="I2" s="54"/>
      <c r="J2" s="54"/>
      <c r="K2" s="54"/>
      <c r="L2" s="54"/>
      <c r="M2" s="54"/>
      <c r="N2" s="54"/>
      <c r="O2" s="54"/>
      <c r="P2" s="54"/>
    </row>
    <row r="4" spans="2:16" ht="15" customHeight="1" x14ac:dyDescent="0.35">
      <c r="C4" s="52" t="s">
        <v>74</v>
      </c>
      <c r="D4" s="52"/>
      <c r="E4" s="52"/>
      <c r="F4" s="52"/>
      <c r="G4" s="52"/>
      <c r="H4" s="52"/>
      <c r="I4" s="52"/>
      <c r="J4" s="52"/>
      <c r="K4" s="52"/>
      <c r="L4" s="52"/>
      <c r="M4" s="52"/>
      <c r="N4" s="52"/>
      <c r="O4" s="52"/>
      <c r="P4" s="52"/>
    </row>
    <row r="5" spans="2:16" x14ac:dyDescent="0.35">
      <c r="C5" s="5"/>
      <c r="D5" s="5"/>
      <c r="E5" s="5"/>
      <c r="F5" s="5"/>
      <c r="G5" s="5"/>
      <c r="H5" s="5"/>
      <c r="I5" s="5"/>
      <c r="J5" s="5"/>
      <c r="K5" s="5"/>
      <c r="L5" s="5"/>
      <c r="M5" s="5"/>
      <c r="N5" s="5"/>
      <c r="O5" s="5"/>
      <c r="P5" s="5"/>
    </row>
    <row r="6" spans="2:16" x14ac:dyDescent="0.35">
      <c r="C6" s="56" t="s">
        <v>67</v>
      </c>
      <c r="D6" s="10" t="s">
        <v>68</v>
      </c>
      <c r="E6" s="34">
        <f>SUM(N11:N110)</f>
        <v>0</v>
      </c>
      <c r="F6" s="5"/>
      <c r="G6" s="5"/>
      <c r="H6" s="5"/>
      <c r="I6" s="5"/>
      <c r="J6" s="5"/>
      <c r="K6" s="5"/>
      <c r="L6" s="5"/>
      <c r="M6" s="5"/>
      <c r="N6" s="5"/>
      <c r="O6" s="5"/>
      <c r="P6" s="5"/>
    </row>
    <row r="7" spans="2:16" x14ac:dyDescent="0.35">
      <c r="C7" s="56"/>
      <c r="D7" s="11" t="s">
        <v>69</v>
      </c>
      <c r="E7" s="35">
        <f>SUM(O11:O110)</f>
        <v>0</v>
      </c>
      <c r="J7" s="36"/>
    </row>
    <row r="9" spans="2:16" x14ac:dyDescent="0.35">
      <c r="B9" s="6"/>
      <c r="C9" s="7"/>
      <c r="D9" s="7"/>
      <c r="E9" s="7"/>
      <c r="F9" s="7"/>
      <c r="G9" s="7"/>
      <c r="H9" s="7"/>
      <c r="I9" s="57" t="s">
        <v>51</v>
      </c>
      <c r="J9" s="57"/>
      <c r="K9" s="7"/>
      <c r="L9" s="57" t="s">
        <v>7</v>
      </c>
      <c r="M9" s="57"/>
      <c r="N9" s="57" t="s">
        <v>57</v>
      </c>
      <c r="O9" s="57"/>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
      </c>
      <c r="D11" s="43"/>
      <c r="E11" s="42"/>
      <c r="F11" s="42"/>
      <c r="G11" s="43"/>
      <c r="H11" s="42"/>
      <c r="I11" s="45"/>
      <c r="J11" s="45"/>
      <c r="K11" s="44" t="str">
        <f ca="1">IF(OR(I11="",J11=""),"",IF(AND(J11&lt;&gt;"",I11&gt;=NOW()),"Planned",IF(AND(J11&lt;&gt;"",J11&lt;NOW()),"Completed","Ongoing")))</f>
        <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
      </c>
      <c r="D12" s="43"/>
      <c r="E12" s="42"/>
      <c r="F12" s="42"/>
      <c r="G12" s="43"/>
      <c r="H12" s="42"/>
      <c r="I12" s="45"/>
      <c r="J12" s="45"/>
      <c r="K12" s="44" t="str">
        <f t="shared" ref="K12:K75" ca="1" si="0">IF(OR(I12="",J12=""),"",IF(AND(J12&lt;&gt;"",I12&gt;=NOW()),"Planned",IF(AND(J12&lt;&gt;"",J12&lt;NOW()),"Completed","Ongoing")))</f>
        <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
      </c>
      <c r="D13" s="43"/>
      <c r="E13" s="42"/>
      <c r="F13" s="42"/>
      <c r="G13" s="43"/>
      <c r="H13" s="42"/>
      <c r="I13" s="45"/>
      <c r="J13" s="45"/>
      <c r="K13" s="44" t="str">
        <f t="shared" ca="1" si="0"/>
        <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
      </c>
      <c r="D14" s="43"/>
      <c r="E14" s="42"/>
      <c r="F14" s="42"/>
      <c r="G14" s="43"/>
      <c r="H14" s="42"/>
      <c r="I14" s="45"/>
      <c r="J14" s="45"/>
      <c r="K14" s="44" t="str">
        <f t="shared" ca="1" si="0"/>
        <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
      </c>
      <c r="D15" s="43"/>
      <c r="E15" s="42"/>
      <c r="F15" s="42"/>
      <c r="G15" s="43"/>
      <c r="H15" s="42"/>
      <c r="I15" s="45"/>
      <c r="J15" s="45"/>
      <c r="K15" s="44" t="str">
        <f t="shared" ca="1" si="0"/>
        <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
      </c>
      <c r="D16" s="43"/>
      <c r="E16" s="42"/>
      <c r="F16" s="42"/>
      <c r="G16" s="43"/>
      <c r="H16" s="42"/>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election activeCell="B23" sqref="B23"/>
    </sheetView>
  </sheetViews>
  <sheetFormatPr defaultRowHeight="14.5" x14ac:dyDescent="0.35"/>
  <cols>
    <col min="2" max="10" width="22" customWidth="1"/>
  </cols>
  <sheetData>
    <row r="2" spans="2:10" x14ac:dyDescent="0.35">
      <c r="B2" s="54" t="s">
        <v>11</v>
      </c>
      <c r="C2" s="54"/>
      <c r="D2" s="54"/>
      <c r="E2" s="54"/>
      <c r="F2" s="54"/>
      <c r="G2" s="54"/>
      <c r="H2" s="54"/>
      <c r="I2" s="54"/>
      <c r="J2" s="54"/>
    </row>
    <row r="4" spans="2:10" x14ac:dyDescent="0.35">
      <c r="B4" s="52" t="s">
        <v>13</v>
      </c>
      <c r="C4" s="52"/>
      <c r="D4" s="52"/>
      <c r="E4" s="52"/>
      <c r="F4" s="52"/>
      <c r="G4" s="52"/>
      <c r="H4" s="52"/>
      <c r="I4" s="52"/>
      <c r="J4" s="52"/>
    </row>
    <row r="5" spans="2:10" x14ac:dyDescent="0.35">
      <c r="B5" s="52"/>
      <c r="C5" s="52"/>
      <c r="D5" s="52"/>
      <c r="E5" s="52"/>
      <c r="F5" s="52"/>
      <c r="G5" s="52"/>
      <c r="H5" s="52"/>
      <c r="I5" s="52"/>
      <c r="J5" s="52"/>
    </row>
    <row r="6" spans="2:10" x14ac:dyDescent="0.35">
      <c r="B6" s="52"/>
      <c r="C6" s="52"/>
      <c r="D6" s="52"/>
      <c r="E6" s="52"/>
      <c r="F6" s="52"/>
      <c r="G6" s="52"/>
      <c r="H6" s="52"/>
      <c r="I6" s="52"/>
      <c r="J6" s="52"/>
    </row>
    <row r="7" spans="2:10" x14ac:dyDescent="0.35">
      <c r="B7" s="5"/>
      <c r="C7" s="5"/>
      <c r="D7" s="5"/>
      <c r="E7" s="5"/>
      <c r="F7" s="5"/>
      <c r="G7" s="5"/>
      <c r="H7" s="5"/>
      <c r="I7" s="5"/>
      <c r="J7" s="5"/>
    </row>
    <row r="8" spans="2:10" x14ac:dyDescent="0.35">
      <c r="B8" s="24" t="s">
        <v>12</v>
      </c>
      <c r="C8" s="12"/>
      <c r="D8" s="12"/>
      <c r="E8" s="12"/>
      <c r="F8" s="12"/>
      <c r="G8" s="12"/>
      <c r="H8" s="12"/>
      <c r="I8" s="12"/>
      <c r="J8" s="12"/>
    </row>
    <row r="9" spans="2:10" x14ac:dyDescent="0.35">
      <c r="B9" s="13" t="s">
        <v>79</v>
      </c>
      <c r="C9" s="12"/>
      <c r="D9" s="12"/>
      <c r="E9" s="12"/>
      <c r="F9" s="12"/>
      <c r="G9" s="12"/>
      <c r="H9" s="12"/>
      <c r="I9" s="12"/>
      <c r="J9" s="12"/>
    </row>
    <row r="10" spans="2:10" x14ac:dyDescent="0.35">
      <c r="B10" s="13" t="s">
        <v>80</v>
      </c>
      <c r="C10" s="12"/>
      <c r="D10" s="12"/>
      <c r="E10" s="12"/>
      <c r="F10" s="12"/>
      <c r="G10" s="12"/>
      <c r="H10" s="12"/>
      <c r="I10" s="12"/>
      <c r="J10" s="12"/>
    </row>
    <row r="11" spans="2:10" x14ac:dyDescent="0.35">
      <c r="B11" s="13" t="s">
        <v>81</v>
      </c>
      <c r="C11" s="12"/>
      <c r="D11" s="12"/>
      <c r="E11" s="12"/>
      <c r="F11" s="12"/>
      <c r="G11" s="12"/>
      <c r="H11" s="12"/>
      <c r="I11" s="12"/>
      <c r="J11" s="12"/>
    </row>
    <row r="12" spans="2:10" x14ac:dyDescent="0.35">
      <c r="B12" s="13" t="s">
        <v>82</v>
      </c>
      <c r="C12" s="12"/>
      <c r="D12" s="12"/>
      <c r="E12" s="12"/>
      <c r="F12" s="12"/>
      <c r="G12" s="12"/>
      <c r="H12" s="12"/>
      <c r="I12" s="12"/>
      <c r="J12" s="12"/>
    </row>
    <row r="13" spans="2:10" x14ac:dyDescent="0.35">
      <c r="B13" s="13" t="s">
        <v>83</v>
      </c>
      <c r="C13" s="12"/>
      <c r="D13" s="12"/>
      <c r="E13" s="12"/>
      <c r="F13" s="12"/>
      <c r="G13" s="12"/>
      <c r="H13" s="12"/>
      <c r="I13" s="12"/>
      <c r="J13" s="12"/>
    </row>
    <row r="14" spans="2:10" x14ac:dyDescent="0.35">
      <c r="B14" s="14" t="s">
        <v>76</v>
      </c>
      <c r="C14" s="12"/>
      <c r="D14" s="12"/>
      <c r="E14" s="12"/>
      <c r="F14" s="12"/>
      <c r="G14" s="12"/>
      <c r="H14" s="12"/>
      <c r="I14" s="12"/>
      <c r="J14" s="12"/>
    </row>
    <row r="15" spans="2:10" x14ac:dyDescent="0.35">
      <c r="B15" s="3"/>
      <c r="C15" s="12"/>
      <c r="D15" s="12"/>
      <c r="E15" s="12"/>
      <c r="F15" s="12"/>
      <c r="G15" s="12"/>
      <c r="H15" s="12"/>
      <c r="I15" s="12"/>
      <c r="J15" s="12"/>
    </row>
    <row r="16" spans="2:10" x14ac:dyDescent="0.35">
      <c r="B16" s="25" t="s">
        <v>14</v>
      </c>
      <c r="C16" s="12"/>
      <c r="D16" s="12"/>
      <c r="E16" s="12"/>
      <c r="F16" s="12"/>
      <c r="G16" s="12"/>
      <c r="H16" s="12"/>
      <c r="I16" s="12"/>
      <c r="J16" s="12"/>
    </row>
    <row r="17" spans="2:10" x14ac:dyDescent="0.35">
      <c r="B17" s="15" t="s">
        <v>15</v>
      </c>
      <c r="C17" s="12"/>
      <c r="D17" s="12"/>
      <c r="E17" s="12"/>
      <c r="F17" s="12"/>
      <c r="G17" s="12"/>
      <c r="H17" s="12"/>
      <c r="I17" s="12"/>
      <c r="J17" s="12"/>
    </row>
    <row r="18" spans="2:10" x14ac:dyDescent="0.35">
      <c r="B18" s="15" t="s">
        <v>16</v>
      </c>
      <c r="C18" s="12"/>
      <c r="D18" s="12"/>
      <c r="E18" s="12"/>
      <c r="F18" s="12"/>
      <c r="G18" s="12"/>
      <c r="H18" s="12"/>
      <c r="I18" s="12"/>
      <c r="J18" s="12"/>
    </row>
    <row r="19" spans="2:10" x14ac:dyDescent="0.35">
      <c r="B19" s="16" t="s">
        <v>17</v>
      </c>
      <c r="C19" s="12"/>
      <c r="D19" s="12"/>
      <c r="E19" s="12"/>
      <c r="F19" s="12"/>
      <c r="G19" s="12"/>
      <c r="H19" s="12"/>
      <c r="I19" s="12"/>
      <c r="J19" s="12"/>
    </row>
    <row r="20" spans="2:10" x14ac:dyDescent="0.35">
      <c r="B20" s="3"/>
      <c r="C20" s="12"/>
      <c r="D20" s="12"/>
      <c r="E20" s="12"/>
      <c r="F20" s="12"/>
      <c r="G20" s="12"/>
      <c r="H20" s="12"/>
      <c r="I20" s="12"/>
      <c r="J20" s="12"/>
    </row>
    <row r="21" spans="2:10" x14ac:dyDescent="0.35">
      <c r="B21" s="25" t="s">
        <v>54</v>
      </c>
      <c r="C21" s="12"/>
      <c r="D21" s="12"/>
      <c r="E21" s="12"/>
      <c r="F21" s="12"/>
      <c r="G21" s="12"/>
      <c r="H21" s="12"/>
      <c r="I21" s="12"/>
      <c r="J21" s="12"/>
    </row>
    <row r="22" spans="2:10" x14ac:dyDescent="0.35">
      <c r="B22" s="17">
        <v>45658</v>
      </c>
      <c r="C22" s="12"/>
      <c r="D22" s="12"/>
      <c r="E22" s="12"/>
      <c r="F22" s="12"/>
      <c r="G22" s="12"/>
      <c r="H22" s="12"/>
      <c r="I22" s="12"/>
      <c r="J22" s="12"/>
    </row>
    <row r="23" spans="2:10" x14ac:dyDescent="0.35">
      <c r="B23" s="58">
        <v>46062.354166666664</v>
      </c>
      <c r="C23" s="12"/>
      <c r="D23" s="12"/>
      <c r="E23" s="12"/>
      <c r="F23" s="12"/>
      <c r="G23" s="12"/>
      <c r="H23" s="12"/>
      <c r="I23" s="12"/>
      <c r="J23" s="12"/>
    </row>
    <row r="24" spans="2:10" x14ac:dyDescent="0.35">
      <c r="B24" s="12"/>
      <c r="C24" s="12"/>
      <c r="D24" s="12"/>
      <c r="E24" s="12"/>
      <c r="F24" s="12"/>
      <c r="G24" s="12"/>
      <c r="H24" s="12"/>
      <c r="I24" s="12"/>
      <c r="J24" s="12"/>
    </row>
    <row r="25" spans="2:10" x14ac:dyDescent="0.35">
      <c r="B25" s="26" t="s">
        <v>22</v>
      </c>
      <c r="C25" s="27" t="s">
        <v>56</v>
      </c>
      <c r="D25" s="27" t="s">
        <v>28</v>
      </c>
      <c r="E25" s="28"/>
      <c r="F25" s="28"/>
      <c r="G25" s="28"/>
      <c r="H25" s="28"/>
      <c r="I25" s="28"/>
      <c r="J25" s="29"/>
    </row>
    <row r="26" spans="2:10" x14ac:dyDescent="0.35">
      <c r="B26" s="18" t="s">
        <v>29</v>
      </c>
      <c r="C26" s="50">
        <v>0</v>
      </c>
      <c r="D26" s="12" t="s">
        <v>30</v>
      </c>
      <c r="E26" s="12" t="s">
        <v>31</v>
      </c>
      <c r="F26" s="12" t="s">
        <v>50</v>
      </c>
      <c r="G26" s="12" t="s">
        <v>32</v>
      </c>
      <c r="H26" s="12"/>
      <c r="I26" s="12"/>
      <c r="J26" s="19"/>
    </row>
    <row r="27" spans="2:10" x14ac:dyDescent="0.35">
      <c r="B27" s="18" t="s">
        <v>23</v>
      </c>
      <c r="C27" s="50">
        <v>50</v>
      </c>
      <c r="D27" s="12" t="s">
        <v>20</v>
      </c>
      <c r="E27" s="12" t="s">
        <v>33</v>
      </c>
      <c r="F27" s="12" t="s">
        <v>34</v>
      </c>
      <c r="G27" s="12" t="s">
        <v>35</v>
      </c>
      <c r="H27" s="12" t="s">
        <v>36</v>
      </c>
      <c r="I27" s="12" t="s">
        <v>32</v>
      </c>
      <c r="J27" s="19"/>
    </row>
    <row r="28" spans="2:10" x14ac:dyDescent="0.35">
      <c r="B28" s="18" t="s">
        <v>24</v>
      </c>
      <c r="C28" s="50">
        <v>40</v>
      </c>
      <c r="D28" s="12" t="s">
        <v>37</v>
      </c>
      <c r="E28" s="12" t="s">
        <v>38</v>
      </c>
      <c r="F28" s="12" t="s">
        <v>39</v>
      </c>
      <c r="G28" s="12" t="s">
        <v>36</v>
      </c>
      <c r="H28" s="12" t="s">
        <v>32</v>
      </c>
      <c r="I28" s="12"/>
      <c r="J28" s="19"/>
    </row>
    <row r="29" spans="2:10" x14ac:dyDescent="0.35">
      <c r="B29" s="18" t="s">
        <v>25</v>
      </c>
      <c r="C29" s="50">
        <v>25</v>
      </c>
      <c r="D29" s="12" t="s">
        <v>88</v>
      </c>
      <c r="E29" s="12" t="s">
        <v>40</v>
      </c>
      <c r="F29" s="12" t="s">
        <v>41</v>
      </c>
      <c r="G29" s="12" t="s">
        <v>42</v>
      </c>
      <c r="H29" s="12" t="s">
        <v>36</v>
      </c>
      <c r="I29" s="12" t="s">
        <v>32</v>
      </c>
      <c r="J29" s="19"/>
    </row>
    <row r="30" spans="2:10" x14ac:dyDescent="0.35">
      <c r="B30" s="18" t="s">
        <v>26</v>
      </c>
      <c r="C30" s="50">
        <v>30</v>
      </c>
      <c r="D30" s="12" t="s">
        <v>43</v>
      </c>
      <c r="E30" s="12" t="s">
        <v>86</v>
      </c>
      <c r="F30" s="12" t="s">
        <v>44</v>
      </c>
      <c r="G30" s="12" t="s">
        <v>45</v>
      </c>
      <c r="H30" s="12" t="s">
        <v>36</v>
      </c>
      <c r="I30" s="12" t="s">
        <v>32</v>
      </c>
      <c r="J30" s="19"/>
    </row>
    <row r="31" spans="2:10" x14ac:dyDescent="0.35">
      <c r="B31" s="20" t="s">
        <v>27</v>
      </c>
      <c r="C31" s="50">
        <v>30</v>
      </c>
      <c r="D31" s="12" t="s">
        <v>87</v>
      </c>
      <c r="E31" s="12" t="s">
        <v>46</v>
      </c>
      <c r="F31" s="12" t="s">
        <v>47</v>
      </c>
      <c r="G31" s="12" t="s">
        <v>48</v>
      </c>
      <c r="H31" s="12" t="s">
        <v>49</v>
      </c>
      <c r="I31" s="12" t="s">
        <v>36</v>
      </c>
      <c r="J31" s="19" t="s">
        <v>32</v>
      </c>
    </row>
    <row r="32" spans="2:10" x14ac:dyDescent="0.35">
      <c r="B32" s="21" t="s">
        <v>55</v>
      </c>
      <c r="C32" s="51">
        <v>10</v>
      </c>
      <c r="D32" s="22" t="s">
        <v>32</v>
      </c>
      <c r="E32" s="22"/>
      <c r="F32" s="22"/>
      <c r="G32" s="22"/>
      <c r="H32" s="22"/>
      <c r="I32" s="22"/>
      <c r="J32" s="23"/>
    </row>
    <row r="33" spans="2:10" x14ac:dyDescent="0.35">
      <c r="B33" s="12"/>
      <c r="C33" s="12"/>
      <c r="D33" s="12"/>
      <c r="E33" s="12"/>
      <c r="F33" s="12"/>
      <c r="G33" s="12"/>
      <c r="H33" s="12"/>
      <c r="I33" s="12"/>
      <c r="J33" s="12"/>
    </row>
    <row r="34" spans="2:10" x14ac:dyDescent="0.35">
      <c r="B34" s="32" t="s">
        <v>59</v>
      </c>
      <c r="C34" s="33" t="s">
        <v>62</v>
      </c>
      <c r="D34" s="12"/>
      <c r="E34" s="12"/>
      <c r="F34" s="12"/>
      <c r="G34" s="12"/>
      <c r="H34" s="12"/>
      <c r="I34" s="12"/>
      <c r="J34" s="12"/>
    </row>
    <row r="35" spans="2:10" x14ac:dyDescent="0.35">
      <c r="B35" s="20" t="s">
        <v>63</v>
      </c>
      <c r="C35" s="30" t="s">
        <v>73</v>
      </c>
      <c r="D35" s="12"/>
      <c r="E35" s="12"/>
      <c r="F35" s="12"/>
      <c r="G35" s="12"/>
      <c r="H35" s="12"/>
      <c r="I35" s="12"/>
      <c r="J35" s="12"/>
    </row>
    <row r="36" spans="2:10" x14ac:dyDescent="0.35">
      <c r="B36" s="20" t="s">
        <v>61</v>
      </c>
      <c r="C36" s="19" t="s">
        <v>71</v>
      </c>
      <c r="D36" s="12"/>
      <c r="E36" s="12"/>
      <c r="F36" s="12"/>
      <c r="G36" s="12"/>
      <c r="H36" s="12"/>
      <c r="I36" s="12"/>
      <c r="J36" s="12"/>
    </row>
    <row r="37" spans="2:10" x14ac:dyDescent="0.35">
      <c r="B37" s="20" t="s">
        <v>64</v>
      </c>
      <c r="C37" s="19" t="s">
        <v>64</v>
      </c>
      <c r="D37" s="12"/>
      <c r="E37" s="12"/>
      <c r="F37" s="12"/>
      <c r="G37" s="12"/>
      <c r="H37" s="12"/>
      <c r="I37" s="12"/>
      <c r="J37" s="12"/>
    </row>
    <row r="38" spans="2:10" x14ac:dyDescent="0.35">
      <c r="B38" s="20" t="s">
        <v>60</v>
      </c>
      <c r="C38" s="19" t="s">
        <v>70</v>
      </c>
      <c r="D38" s="12"/>
      <c r="E38" s="12"/>
      <c r="F38" s="12"/>
      <c r="G38" s="12"/>
      <c r="H38" s="12"/>
      <c r="I38" s="12"/>
      <c r="J38" s="12"/>
    </row>
    <row r="39" spans="2:10" x14ac:dyDescent="0.35">
      <c r="B39" s="31" t="s">
        <v>55</v>
      </c>
      <c r="C39" s="23" t="s">
        <v>72</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FRANCISCO RODRIGUEZ-CARRETERO ROLDAN</cp:lastModifiedBy>
  <dcterms:created xsi:type="dcterms:W3CDTF">2024-04-15T09:22:17Z</dcterms:created>
  <dcterms:modified xsi:type="dcterms:W3CDTF">2026-02-12T15:45:03Z</dcterms:modified>
</cp:coreProperties>
</file>